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457b098dc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c574b8227a34bdd"/>
    <x:sheet xmlns:r="http://schemas.openxmlformats.org/officeDocument/2006/relationships" name="Datos" sheetId="2" r:id="R2c9549fe0e964504"/>
    <x:sheet xmlns:r="http://schemas.openxmlformats.org/officeDocument/2006/relationships" name="Tasas" sheetId="3" r:id="R48e267caf90148ac"/>
    <x:sheet xmlns:r="http://schemas.openxmlformats.org/officeDocument/2006/relationships" name="Productividad" sheetId="4" r:id="R597732773e4c488a"/>
    <x:sheet xmlns:r="http://schemas.openxmlformats.org/officeDocument/2006/relationships" name="Registro" sheetId="5" r:id="Ra4cd36e6ac2b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1"/>
      <x:color rgb="FF143F46"/>
      <x:name val="Aptos"/>
    </x:font>
    <x:font>
      <x:b/>
      <x:sz val="17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F46"/>
      </x:patternFill>
    </x:fill>
    <x:fill>
      <x:patternFill patternType="solid">
        <x:fgColor rgb="FFE0ECEC"/>
      </x:patternFill>
    </x:fill>
    <x:fill>
      <x:patternFill patternType="solid">
        <x:fgColor rgb="FFDDECE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7E4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69d7a42c9401f" /><Relationship Type="http://schemas.openxmlformats.org/officeDocument/2006/relationships/theme" Target="/xl/theme/theme1.xml" Id="Rea0434a264d04207" /><Relationship Type="http://schemas.openxmlformats.org/officeDocument/2006/relationships/sharedStrings" Target="/xl/sharedStrings.xml" Id="R56415a6cb2f64bea" /><Relationship Type="http://schemas.openxmlformats.org/officeDocument/2006/relationships/worksheet" Target="/xl/worksheets/sheet1.xml" Id="Rec574b8227a34bdd" /><Relationship Type="http://schemas.openxmlformats.org/officeDocument/2006/relationships/worksheet" Target="/xl/worksheets/sheet2.xml" Id="R2c9549fe0e964504" /><Relationship Type="http://schemas.openxmlformats.org/officeDocument/2006/relationships/worksheet" Target="/xl/worksheets/sheet3.xml" Id="R48e267caf90148ac" /><Relationship Type="http://schemas.openxmlformats.org/officeDocument/2006/relationships/worksheet" Target="/xl/worksheets/sheet4.xml" Id="R597732773e4c488a" /><Relationship Type="http://schemas.openxmlformats.org/officeDocument/2006/relationships/worksheet" Target="/xl/worksheets/sheet5.xml" Id="Ra4cd36e6ac2b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7" t="str">
        <x:v>IA PARA TRABAJAR MEJOR · INICIO</x:v>
      </x:c>
      <x:c r="B1" s="7"/>
      <x:c r="C1" s="7"/>
      <x:c r="D1" s="7"/>
      <x:c r="E1" s="7"/>
      <x:c r="F1" s="7"/>
      <x:c r="G1" s="7"/>
      <x:c r="H1" s="7"/>
    </x:row>
    <x:row r="2" ht="25" customHeight="1">
      <x:c r="A2" s="7"/>
      <x:c r="B2" s="7"/>
      <x:c r="C2" s="7"/>
      <x:c r="D2" s="7"/>
      <x:c r="E2" s="7"/>
      <x:c r="F2" s="7"/>
      <x:c r="G2" s="7"/>
      <x:c r="H2" s="7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40" customHeight="1">
      <x:c r="A4" s="10" t="str">
        <x:v>Cuaderno de cálculo</x:v>
      </x:c>
      <x:c r="B4" s="10"/>
      <x:c r="C4" s="4" t="str">
        <x:v>Curso 5 · Dibork Learning · Versión 2.0</x:v>
      </x:c>
      <x:c r="D4" s="4"/>
      <x:c r="E4" s="4"/>
      <x:c r="F4" s="4"/>
      <x:c r="G4" s="4"/>
      <x:c r="H4" s="4"/>
    </x:row>
    <x:row r="5" ht="40" customHeight="1">
      <x:c r="A5" s="10" t="str">
        <x:v>Uso</x:v>
      </x:c>
      <x:c r="B5" s="10"/>
      <x:c r="C5" s="4" t="str">
        <x:v>Práctica formativa con datos ficticios. No contiene soluciones de los proyectos finales.</x:v>
      </x:c>
      <x:c r="D5" s="4"/>
      <x:c r="E5" s="4"/>
      <x:c r="F5" s="4"/>
      <x:c r="G5" s="4"/>
      <x:c r="H5" s="4"/>
    </x:row>
    <x:row r="6" ht="40" customHeight="1">
      <x:c r="A6" s="10" t="str">
        <x:v>Datos</x:v>
      </x:c>
      <x:c r="B6" s="10"/>
      <x:c r="C6" s="4" t="str">
        <x:v>M09-T1: conserva el registro original; define inclusiones y exclusiones.</x:v>
      </x:c>
      <x:c r="D6" s="4"/>
      <x:c r="E6" s="4"/>
      <x:c r="F6" s="4"/>
      <x:c r="G6" s="4"/>
      <x:c r="H6" s="4"/>
    </x:row>
    <x:row r="7" ht="40" customHeight="1">
      <x:c r="A7" s="10" t="str">
        <x:v>Tasas</x:v>
      </x:c>
      <x:c r="B7" s="10"/>
      <x:c r="C7" s="4" t="str">
        <x:v>M09-T2: compara media simple y proporción global.</x:v>
      </x:c>
      <x:c r="D7" s="4"/>
      <x:c r="E7" s="4"/>
      <x:c r="F7" s="4"/>
      <x:c r="G7" s="4"/>
      <x:c r="H7" s="4"/>
    </x:row>
    <x:row r="8" ht="40" customHeight="1">
      <x:c r="A8" s="10" t="str">
        <x:v>Productividad</x:v>
      </x:c>
      <x:c r="B8" s="10"/>
      <x:c r="C8" s="4" t="str">
        <x:v>M12-T1: registra todas las etapas, frecuencia y mantenimiento.</x:v>
      </x:c>
      <x:c r="D8" s="4"/>
      <x:c r="E8" s="4"/>
      <x:c r="F8" s="4"/>
      <x:c r="G8" s="4"/>
      <x:c r="H8" s="4"/>
    </x:row>
    <x:row r="9" ht="40" customHeight="1">
      <x:c r="A9" s="10" t="str">
        <x:v>Registro</x:v>
      </x:c>
      <x:c r="B9" s="10"/>
      <x:c r="C9" s="4" t="str">
        <x:v>Completa evidencias, fuentes y decisiones. No incluyas datos personales reales.</x:v>
      </x:c>
      <x:c r="D9" s="4"/>
      <x:c r="E9" s="4"/>
      <x:c r="F9" s="4"/>
      <x:c r="G9" s="4"/>
      <x:c r="H9" s="4"/>
    </x:row>
    <x:row r="10" ht="40" customHeight="1">
      <x:c r="A10" s="10" t="str">
        <x:v>Edición</x:v>
      </x:c>
      <x:c r="B10" s="10"/>
      <x:c r="C10" s="4" t="str">
        <x:v>Las celdas claras son entradas; las fórmulas están en columnas de resultado.</x:v>
      </x:c>
      <x:c r="D10" s="4"/>
      <x:c r="E10" s="4"/>
      <x:c r="F10" s="4"/>
      <x:c r="G10" s="4"/>
      <x:c r="H10" s="4"/>
    </x:row>
    <x:row r="11" ht="40" customHeight="1">
      <x:c r="A11" s="10" t="str">
        <x:v>Duración</x:v>
      </x:c>
      <x:c r="B11" s="10"/>
      <x:c r="C11" s="4" t="str">
        <x:v>Recurso integrado en talleres; no suma horas adicionales.</x:v>
      </x:c>
      <x:c r="D11" s="4"/>
      <x:c r="E11" s="4"/>
      <x:c r="F11" s="4"/>
      <x:c r="G11" s="4"/>
      <x:c r="H11" s="4"/>
    </x:row>
    <x:row r="12" ht="40" customHeight="1">
      <x:c r="A12" s="10" t="str">
        <x:v>Fuente de datos</x:v>
      </x:c>
      <x:c r="B12" s="10"/>
      <x:c r="C12" s="4" t="str">
        <x:v>Expedientes ficticios originales del curso, 8 de octubre de 2026.</x:v>
      </x:c>
      <x:c r="D12" s="4"/>
      <x:c r="E12" s="4"/>
      <x:c r="F12" s="4"/>
      <x:c r="G12" s="4"/>
      <x:c r="H12" s="4"/>
    </x:row>
    <x:row r="13" ht="48" customHeight="1">
      <x:c r="A13" s="10" t="str">
        <x:v>Funciones</x:v>
      </x:c>
      <x:c r="B13" s="10"/>
      <x:c r="C13" s="4" t="str">
        <x:v>https://support.microsoft.com/en-us/excel/functions/averageif-function</x:v>
      </x:c>
      <x:c r="D13" s="4"/>
      <x:c r="E13" s="4"/>
      <x:c r="F13" s="4"/>
      <x:c r="G13" s="4"/>
      <x:c r="H13" s="4"/>
    </x:row>
    <x:row r="14" ht="40" customHeight="1">
      <x:c r="A14" s="10" t="str">
        <x:v>Estado</x:v>
      </x:c>
      <x:c r="B14" s="10"/>
      <x:c r="C14" s="4" t="str">
        <x:v>Libro editable de práctica. No está conectado al LMS ni a una IA.</x:v>
      </x:c>
      <x:c r="D14" s="4"/>
      <x:c r="E14" s="4"/>
      <x:c r="F14" s="4"/>
      <x:c r="G14" s="4"/>
      <x:c r="H14" s="4"/>
    </x:row>
    <x:row r="15" ht="22" customHeight="1">
      <x:c r="A15" s="4"/>
      <x:c r="B15" s="4"/>
      <x:c r="C15" s="4"/>
      <x:c r="D15" s="4"/>
      <x:c r="E15" s="4"/>
      <x:c r="F15" s="4"/>
      <x:c r="G15" s="4"/>
      <x:c r="H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</x:row>
    <x:row r="17" ht="22" customHeight="1">
      <x:c r="A17" s="4"/>
      <x:c r="B17" s="4"/>
      <x:c r="C17" s="4"/>
      <x:c r="D17" s="4"/>
      <x:c r="E17" s="4"/>
      <x:c r="F17" s="4"/>
      <x:c r="G17" s="4"/>
      <x:c r="H17" s="4"/>
    </x:row>
    <x:row r="18" ht="22" customHeight="1">
      <x:c r="A18" s="4"/>
      <x:c r="B18" s="4"/>
      <x:c r="C18" s="4"/>
      <x:c r="D18" s="4"/>
      <x:c r="E18" s="4"/>
      <x:c r="F18" s="4"/>
      <x:c r="G18" s="4"/>
      <x:c r="H18" s="4"/>
    </x:row>
    <x:row r="19" ht="22" customHeight="1">
      <x:c r="A19" s="4"/>
      <x:c r="B19" s="4"/>
      <x:c r="C19" s="4"/>
      <x:c r="D19" s="4"/>
      <x:c r="E19" s="4"/>
      <x:c r="F19" s="4"/>
      <x:c r="G19" s="4"/>
      <x:c r="H19" s="4"/>
    </x:row>
    <x:row r="20" ht="22" customHeight="1">
      <x:c r="A20" s="4"/>
      <x:c r="B20" s="4"/>
      <x:c r="C20" s="4"/>
      <x:c r="D20" s="4"/>
      <x:c r="E20" s="4"/>
      <x:c r="F20" s="4"/>
      <x:c r="G20" s="4"/>
      <x:c r="H20" s="4"/>
    </x:row>
    <x:row r="21" ht="22" customHeight="1">
      <x:c r="A21" s="4"/>
      <x:c r="B21" s="4"/>
      <x:c r="C21" s="4"/>
      <x:c r="D21" s="4"/>
      <x:c r="E21" s="4"/>
      <x:c r="F21" s="4"/>
      <x:c r="G21" s="4"/>
      <x:c r="H21" s="4"/>
    </x:row>
    <x:row r="22" ht="22" customHeight="1">
      <x:c r="A22" s="4"/>
      <x:c r="B22" s="4"/>
      <x:c r="C22" s="4"/>
      <x:c r="D22" s="4"/>
      <x:c r="E22" s="4"/>
      <x:c r="F22" s="4"/>
      <x:c r="G22" s="4"/>
      <x:c r="H22" s="4"/>
    </x:row>
    <x:row r="23" ht="22" customHeight="1">
      <x:c r="A23" s="4"/>
      <x:c r="B23" s="4"/>
      <x:c r="C23" s="4"/>
      <x:c r="D23" s="4"/>
      <x:c r="E23" s="4"/>
      <x:c r="F23" s="4"/>
      <x:c r="G23" s="4"/>
      <x:c r="H23" s="4"/>
    </x:row>
    <x:row r="24" ht="22" customHeight="1">
      <x:c r="A24" s="4"/>
      <x:c r="B24" s="4"/>
      <x:c r="C24" s="4"/>
      <x:c r="D24" s="4"/>
      <x:c r="E24" s="4"/>
      <x:c r="F24" s="4"/>
      <x:c r="G24" s="4"/>
      <x:c r="H24" s="4"/>
    </x:row>
    <x:row r="25" ht="22" customHeight="1">
      <x:c r="A25" s="4"/>
      <x:c r="B25" s="4"/>
      <x:c r="C25" s="4"/>
      <x:c r="D25" s="4"/>
      <x:c r="E25" s="4"/>
      <x:c r="F25" s="4"/>
      <x:c r="G25" s="4"/>
      <x:c r="H25" s="4"/>
    </x:row>
    <x:row r="26" ht="22" customHeight="1">
      <x:c r="A26" s="4"/>
      <x:c r="B26" s="4"/>
      <x:c r="C26" s="4"/>
      <x:c r="D26" s="4"/>
      <x:c r="E26" s="4"/>
      <x:c r="F26" s="4"/>
      <x:c r="G26" s="4"/>
      <x:c r="H26" s="4"/>
    </x:row>
    <x:row r="27" ht="22" customHeight="1">
      <x:c r="A27" s="4"/>
      <x:c r="B27" s="4"/>
      <x:c r="C27" s="4"/>
      <x:c r="D27" s="4"/>
      <x:c r="E27" s="4"/>
      <x:c r="F27" s="4"/>
      <x:c r="G27" s="4"/>
      <x:c r="H27" s="4"/>
    </x:row>
    <x:row r="28" ht="22" customHeight="1">
      <x:c r="A28" s="4"/>
      <x:c r="B28" s="4"/>
      <x:c r="C28" s="4"/>
      <x:c r="D28" s="4"/>
      <x:c r="E28" s="4"/>
      <x:c r="F28" s="4"/>
      <x:c r="G28" s="4"/>
      <x:c r="H28" s="4"/>
    </x:row>
    <x:row r="29" ht="22" customHeight="1">
      <x:c r="A29" s="4"/>
      <x:c r="B29" s="4"/>
      <x:c r="C29" s="4"/>
      <x:c r="D29" s="4"/>
      <x:c r="E29" s="4"/>
      <x:c r="F29" s="4"/>
      <x:c r="G29" s="4"/>
      <x:c r="H29" s="4"/>
    </x:row>
    <x:row r="30" ht="22" customHeight="1">
      <x:c r="A30" s="4"/>
      <x:c r="B30" s="4"/>
      <x:c r="C30" s="4"/>
      <x:c r="D30" s="4"/>
      <x:c r="E30" s="4"/>
      <x:c r="F30" s="4"/>
      <x:c r="G30" s="4"/>
      <x:c r="H30" s="4"/>
    </x:row>
    <x:row r="31" ht="22" customHeight="1">
      <x:c r="A31" s="4"/>
      <x:c r="B31" s="4"/>
      <x:c r="C31" s="4"/>
      <x:c r="D31" s="4"/>
      <x:c r="E31" s="4"/>
      <x:c r="F31" s="4"/>
      <x:c r="G31" s="4"/>
      <x:c r="H31" s="4"/>
    </x:row>
    <x:row r="32" ht="22" customHeight="1">
      <x:c r="A32" s="4"/>
      <x:c r="B32" s="4"/>
      <x:c r="C32" s="4"/>
      <x:c r="D32" s="4"/>
      <x:c r="E32" s="4"/>
      <x:c r="F32" s="4"/>
      <x:c r="G32" s="4"/>
      <x:c r="H32" s="4"/>
    </x:row>
    <x:row r="33" ht="22" customHeight="1">
      <x:c r="A33" s="4"/>
      <x:c r="B33" s="4"/>
      <x:c r="C33" s="4"/>
      <x:c r="D33" s="4"/>
      <x:c r="E33" s="4"/>
      <x:c r="F33" s="4"/>
      <x:c r="G33" s="4"/>
      <x:c r="H33" s="4"/>
    </x:row>
    <x:row r="34" ht="22" customHeight="1">
      <x:c r="A34" s="4"/>
      <x:c r="B34" s="4"/>
      <x:c r="C34" s="4"/>
      <x:c r="D34" s="4"/>
      <x:c r="E34" s="4"/>
      <x:c r="F34" s="4"/>
      <x:c r="G34" s="4"/>
      <x:c r="H34" s="4"/>
    </x:row>
    <x:row r="35" ht="22" customHeight="1">
      <x:c r="A35" s="4"/>
      <x:c r="B35" s="4"/>
      <x:c r="C35" s="4"/>
      <x:c r="D35" s="4"/>
      <x:c r="E35" s="4"/>
      <x:c r="F35" s="4"/>
      <x:c r="G35" s="4"/>
      <x:c r="H35" s="4"/>
    </x:row>
    <x:row r="36" ht="22" customHeight="1">
      <x:c r="A36" s="4"/>
      <x:c r="B36" s="4"/>
      <x:c r="C36" s="4"/>
      <x:c r="D36" s="4"/>
      <x:c r="E36" s="4"/>
      <x:c r="F36" s="4"/>
      <x:c r="G36" s="4"/>
      <x:c r="H36" s="4"/>
    </x:row>
    <x:row r="37" ht="22" customHeight="1">
      <x:c r="A37" s="4"/>
      <x:c r="B37" s="4"/>
      <x:c r="C37" s="4"/>
      <x:c r="D37" s="4"/>
      <x:c r="E37" s="4"/>
      <x:c r="F37" s="4"/>
      <x:c r="G37" s="4"/>
      <x:c r="H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</x:row>
    <x:row r="39" ht="22" customHeight="1">
      <x:c r="A39" s="4"/>
      <x:c r="B39" s="4"/>
      <x:c r="C39" s="4"/>
      <x:c r="D39" s="4"/>
      <x:c r="E39" s="4"/>
      <x:c r="F39" s="4"/>
      <x:c r="G39" s="4"/>
      <x:c r="H39" s="4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</x:row>
    <x:row r="41" ht="22" customHeight="1">
      <x:c r="A41" s="4"/>
      <x:c r="B41" s="4"/>
      <x:c r="C41" s="4"/>
      <x:c r="D41" s="4"/>
      <x:c r="E41" s="4"/>
      <x:c r="F41" s="4"/>
      <x:c r="G41" s="4"/>
      <x:c r="H41" s="4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</x:row>
    <x:row r="43" ht="22" customHeight="1">
      <x:c r="A43" s="4"/>
      <x:c r="B43" s="4"/>
      <x:c r="C43" s="4"/>
      <x:c r="D43" s="4"/>
      <x:c r="E43" s="4"/>
      <x:c r="F43" s="4"/>
      <x:c r="G43" s="4"/>
      <x:c r="H43" s="4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</x:sheetData>
  <x:mergeCells>
    <x:mergeCell ref="A1:H2"/>
    <x:mergeCell ref="A4:B4"/>
    <x:mergeCell ref="C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30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8" t="str">
        <x:v>IA PARA TRABAJAR MEJOR · DATOS</x:v>
      </x:c>
      <x:c r="B1" s="28"/>
      <x:c r="C1" s="28"/>
      <x:c r="D1" s="28"/>
      <x:c r="E1" s="28"/>
      <x:c r="F1" s="28"/>
      <x:c r="G1" s="7"/>
      <x:c r="H1" s="7"/>
    </x:row>
    <x:row r="2" ht="25" customHeight="1">
      <x:c r="A2" s="28"/>
      <x:c r="B2" s="28"/>
      <x:c r="C2" s="28"/>
      <x:c r="D2" s="28"/>
      <x:c r="E2" s="28"/>
      <x:c r="F2" s="28"/>
      <x:c r="G2" s="7"/>
      <x:c r="H2" s="7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20" t="str">
        <x:v>ID</x:v>
      </x:c>
      <x:c r="B4" s="20" t="str">
        <x:v>Estado</x:v>
      </x:c>
      <x:c r="C4" s="20" t="str">
        <x:v>Minutos</x:v>
      </x:c>
      <x:c r="D4" s="20" t="str">
        <x:v>Fila admitida</x:v>
      </x:c>
      <x:c r="E4" s="20" t="str">
        <x:v>Motivo / condición</x:v>
      </x:c>
      <x:c r="F4" s="20" t="str">
        <x:v>Minutos elegibles</x:v>
      </x:c>
      <x:c r="G4" s="4"/>
      <x:c r="H4" s="4"/>
    </x:row>
    <x:row r="5" ht="22" customHeight="1">
      <x:c r="A5" s="21" t="str">
        <x:v>T01</x:v>
      </x:c>
      <x:c r="B5" s="21" t="str">
        <x:v>cerrado</x:v>
      </x:c>
      <x:c r="C5" s="21" t="n">
        <x:v>12</x:v>
      </x:c>
      <x:c r="D5" s="21" t="n">
        <x:v>1</x:v>
      </x:c>
      <x:c r="E5" s="21" t="str">
        <x:v>Registro original</x:v>
      </x:c>
      <x:c r="F5" s="21" t="n">
        <x:f>IF(AND(D5=1,B5="cerrado",ISNUMBER(C5)),C5,"")</x:f>
        <x:v>12</x:v>
      </x:c>
      <x:c r="G5" s="4"/>
      <x:c r="H5" s="4"/>
    </x:row>
    <x:row r="6" ht="22" customHeight="1">
      <x:c r="A6" s="21" t="str">
        <x:v>T02</x:v>
      </x:c>
      <x:c r="B6" s="21" t="str">
        <x:v>cerrado</x:v>
      </x:c>
      <x:c r="C6" s="21" t="n">
        <x:v>18</x:v>
      </x:c>
      <x:c r="D6" s="21" t="n">
        <x:v>1</x:v>
      </x:c>
      <x:c r="E6" s="21" t="str">
        <x:v>Registro original</x:v>
      </x:c>
      <x:c r="F6" s="21" t="n">
        <x:f>IF(AND(D6=1,B6="cerrado",ISNUMBER(C6)),C6,"")</x:f>
        <x:v>18</x:v>
      </x:c>
      <x:c r="G6" s="4"/>
      <x:c r="H6" s="4"/>
    </x:row>
    <x:row r="7" ht="22" customHeight="1">
      <x:c r="A7" s="21" t="str">
        <x:v>T02</x:v>
      </x:c>
      <x:c r="B7" s="21" t="str">
        <x:v>cerrado</x:v>
      </x:c>
      <x:c r="C7" s="21" t="n">
        <x:v>18</x:v>
      </x:c>
      <x:c r="D7" s="21" t="n">
        <x:v>0</x:v>
      </x:c>
      <x:c r="E7" s="21" t="str">
        <x:v>Duplicado confirmado</x:v>
      </x:c>
      <x:c r="F7" s="21" t="str">
        <x:f>IF(AND(D7=1,B7="cerrado",ISNUMBER(C7)),C7,"")</x:f>
      </x:c>
      <x:c r="G7" s="4"/>
      <x:c r="H7" s="4"/>
    </x:row>
    <x:row r="8" ht="22" customHeight="1">
      <x:c r="A8" s="21" t="str">
        <x:v>T03</x:v>
      </x:c>
      <x:c r="B8" s="21" t="str">
        <x:v>pendiente</x:v>
      </x:c>
      <x:c r="C8" s="21"/>
      <x:c r="D8" s="21" t="n">
        <x:v>1</x:v>
      </x:c>
      <x:c r="E8" s="21" t="str">
        <x:v>No hay duración</x:v>
      </x:c>
      <x:c r="F8" s="21" t="str">
        <x:f>IF(AND(D8=1,B8="cerrado",ISNUMBER(C8)),C8,"")</x:f>
      </x:c>
      <x:c r="G8" s="4"/>
      <x:c r="H8" s="4"/>
    </x:row>
    <x:row r="9" ht="22" customHeight="1">
      <x:c r="A9" s="21" t="str">
        <x:v>T04</x:v>
      </x:c>
      <x:c r="B9" s="21" t="str">
        <x:v>cerrado</x:v>
      </x:c>
      <x:c r="C9" s="21" t="n">
        <x:v>0</x:v>
      </x:c>
      <x:c r="D9" s="21" t="n">
        <x:v>1</x:v>
      </x:c>
      <x:c r="E9" s="21" t="str">
        <x:v>Cero validado</x:v>
      </x:c>
      <x:c r="F9" s="21" t="n">
        <x:f>IF(AND(D9=1,B9="cerrado",ISNUMBER(C9)),C9,"")</x:f>
        <x:v>0</x:v>
      </x:c>
      <x:c r="G9" s="4"/>
      <x:c r="H9" s="4"/>
    </x:row>
    <x:row r="10" ht="22" customHeight="1">
      <x:c r="A10" s="21" t="str">
        <x:v>T05</x:v>
      </x:c>
      <x:c r="B10" s="21" t="str">
        <x:v>cerrado</x:v>
      </x:c>
      <x:c r="C10" s="21"/>
      <x:c r="D10" s="21" t="n">
        <x:v>1</x:v>
      </x:c>
      <x:c r="E10" s="21" t="str">
        <x:v>Cerrado sin duración</x:v>
      </x:c>
      <x:c r="F10" s="21" t="str">
        <x:f>IF(AND(D10=1,B10="cerrado",ISNUMBER(C10)),C10,"")</x:f>
      </x:c>
      <x:c r="G10" s="4"/>
      <x:c r="H10" s="4"/>
    </x:row>
    <x:row r="11" ht="22" customHeight="1">
      <x:c r="A11" s="21"/>
      <x:c r="B11" s="21"/>
      <x:c r="C11" s="21"/>
      <x:c r="D11" s="21"/>
      <x:c r="E11" s="21"/>
      <x:c r="F11" s="21"/>
      <x:c r="G11" s="4"/>
      <x:c r="H11" s="4"/>
    </x:row>
    <x:row r="12" ht="22" customHeight="1">
      <x:c r="A12" s="21"/>
      <x:c r="B12" s="21"/>
      <x:c r="C12" s="21"/>
      <x:c r="D12" s="21"/>
      <x:c r="E12" s="21"/>
      <x:c r="F12" s="21"/>
      <x:c r="G12" s="4"/>
      <x:c r="H12" s="4"/>
    </x:row>
    <x:row r="13" ht="22" customHeight="1">
      <x:c r="A13" s="21" t="str">
        <x:v>Casos únicos admitidos</x:v>
      </x:c>
      <x:c r="B13" s="21" t="n">
        <x:f>SUM(D5:D10)</x:f>
        <x:v>5</x:v>
      </x:c>
      <x:c r="C13" s="21"/>
      <x:c r="D13" s="21"/>
      <x:c r="E13" s="21"/>
      <x:c r="F13" s="21"/>
      <x:c r="G13" s="4"/>
      <x:c r="H13" s="4"/>
    </x:row>
    <x:row r="14" ht="22" customHeight="1">
      <x:c r="A14" s="21" t="str">
        <x:v>Cerrados admitidos</x:v>
      </x:c>
      <x:c r="B14" s="21" t="n">
        <x:f>SUMIFS(D5:D10,B5:B10,"cerrado")</x:f>
        <x:v>4</x:v>
      </x:c>
      <x:c r="C14" s="21"/>
      <x:c r="D14" s="21"/>
      <x:c r="E14" s="21"/>
      <x:c r="F14" s="21"/>
      <x:c r="G14" s="4"/>
      <x:c r="H14" s="4"/>
    </x:row>
    <x:row r="15" ht="22" customHeight="1">
      <x:c r="A15" s="21" t="str">
        <x:v>Tasa de cierre</x:v>
      </x:c>
      <x:c r="B15" s="22" t="n">
        <x:f>IF(B13=0,"",B14/B13)</x:f>
        <x:v>0.8</x:v>
      </x:c>
      <x:c r="C15" s="21"/>
      <x:c r="D15" s="21"/>
      <x:c r="E15" s="21"/>
      <x:c r="F15" s="21"/>
      <x:c r="G15" s="4"/>
      <x:c r="H15" s="4"/>
    </x:row>
    <x:row r="16" ht="22" customHeight="1">
      <x:c r="A16" s="21" t="str">
        <x:v>Duraciones conocidas</x:v>
      </x:c>
      <x:c r="B16" s="21" t="n">
        <x:f>COUNT(F5:F10)</x:f>
        <x:v>3</x:v>
      </x:c>
      <x:c r="C16" s="21"/>
      <x:c r="D16" s="21"/>
      <x:c r="E16" s="21"/>
      <x:c r="F16" s="21"/>
      <x:c r="G16" s="4"/>
      <x:c r="H16" s="4"/>
    </x:row>
    <x:row r="17" ht="22" customHeight="1">
      <x:c r="A17" s="21" t="str">
        <x:v>Media de duración conocida</x:v>
      </x:c>
      <x:c r="B17" s="23" t="n">
        <x:f>IF(B16=0,"",SUM(F5:F10)/B16)</x:f>
        <x:v>10</x:v>
      </x:c>
      <x:c r="C17" s="21"/>
      <x:c r="D17" s="21"/>
      <x:c r="E17" s="21"/>
      <x:c r="F17" s="21"/>
      <x:c r="G17" s="4"/>
      <x:c r="H17" s="4"/>
    </x:row>
    <x:row r="18" ht="22" customHeight="1">
      <x:c r="A18" s="21"/>
      <x:c r="B18" s="21"/>
      <x:c r="C18" s="21"/>
      <x:c r="D18" s="21"/>
      <x:c r="E18" s="21"/>
      <x:c r="F18" s="21"/>
      <x:c r="G18" s="4"/>
      <x:c r="H18" s="4"/>
    </x:row>
    <x:row r="19" ht="22" customHeight="1">
      <x:c r="A19" s="21"/>
      <x:c r="B19" s="21"/>
      <x:c r="C19" s="21"/>
      <x:c r="D19" s="21"/>
      <x:c r="E19" s="21"/>
      <x:c r="F19" s="21"/>
      <x:c r="G19" s="4"/>
      <x:c r="H19" s="4"/>
    </x:row>
    <x:row r="20" ht="22" customHeight="1">
      <x:c r="A20" s="21" t="str">
        <x:v>Variante del taller: T05 recibe 30 minutos. Modifica C10 y comprueba el nuevo promedio; el cierre no cambia. Conserva cero válido y exclusión del duplicado.</x:v>
      </x:c>
      <x:c r="B20" s="21"/>
      <x:c r="C20" s="21"/>
      <x:c r="D20" s="21"/>
      <x:c r="E20" s="21"/>
      <x:c r="F20" s="21"/>
      <x:c r="G20" s="4"/>
      <x:c r="H20" s="4"/>
    </x:row>
    <x:row r="21" ht="22" customHeight="1">
      <x:c r="A21" s="21"/>
      <x:c r="B21" s="21"/>
      <x:c r="C21" s="21"/>
      <x:c r="D21" s="21"/>
      <x:c r="E21" s="21"/>
      <x:c r="F21" s="21"/>
      <x:c r="G21" s="4"/>
      <x:c r="H21" s="4"/>
    </x:row>
    <x:row r="22" ht="22" customHeight="1">
      <x:c r="A22" s="21"/>
      <x:c r="B22" s="21"/>
      <x:c r="C22" s="21"/>
      <x:c r="D22" s="21"/>
      <x:c r="E22" s="21"/>
      <x:c r="F22" s="21"/>
      <x:c r="G22" s="4"/>
      <x:c r="H22" s="4"/>
    </x:row>
    <x:row r="23" ht="22" customHeight="1">
      <x:c r="A23" s="21"/>
      <x:c r="B23" s="21"/>
      <x:c r="C23" s="21"/>
      <x:c r="D23" s="21"/>
      <x:c r="E23" s="21"/>
      <x:c r="F23" s="21"/>
      <x:c r="G23" s="4"/>
      <x:c r="H23" s="4"/>
    </x:row>
    <x:row r="24" ht="22" customHeight="1">
      <x:c r="A24" s="21"/>
      <x:c r="B24" s="21"/>
      <x:c r="C24" s="21"/>
      <x:c r="D24" s="21"/>
      <x:c r="E24" s="21"/>
      <x:c r="F24" s="21"/>
      <x:c r="G24" s="4"/>
      <x:c r="H24" s="4"/>
    </x:row>
    <x:row r="25" ht="22" customHeight="1">
      <x:c r="A25" s="21"/>
      <x:c r="B25" s="21"/>
      <x:c r="C25" s="21"/>
      <x:c r="D25" s="21"/>
      <x:c r="E25" s="21"/>
      <x:c r="F25" s="21"/>
      <x:c r="G25" s="4"/>
      <x:c r="H25" s="4"/>
    </x:row>
    <x:row r="26" ht="22" customHeight="1">
      <x:c r="A26" s="21"/>
      <x:c r="B26" s="21"/>
      <x:c r="C26" s="21"/>
      <x:c r="D26" s="21"/>
      <x:c r="E26" s="21"/>
      <x:c r="F26" s="21"/>
      <x:c r="G26" s="4"/>
      <x:c r="H26" s="4"/>
    </x:row>
    <x:row r="27" ht="22" customHeight="1">
      <x:c r="A27" s="4"/>
      <x:c r="B27" s="4"/>
      <x:c r="C27" s="4"/>
      <x:c r="D27" s="4"/>
      <x:c r="E27" s="4"/>
      <x:c r="F27" s="4"/>
      <x:c r="G27" s="4"/>
      <x:c r="H27" s="4"/>
    </x:row>
    <x:row r="28" ht="22" customHeight="1">
      <x:c r="A28" s="4"/>
      <x:c r="B28" s="4"/>
      <x:c r="C28" s="4"/>
      <x:c r="D28" s="4"/>
      <x:c r="E28" s="4"/>
      <x:c r="F28" s="4"/>
      <x:c r="G28" s="4"/>
      <x:c r="H28" s="4"/>
    </x:row>
    <x:row r="29" ht="22" customHeight="1">
      <x:c r="A29" s="4"/>
      <x:c r="B29" s="4"/>
      <x:c r="C29" s="4"/>
      <x:c r="D29" s="4"/>
      <x:c r="E29" s="4"/>
      <x:c r="F29" s="4"/>
      <x:c r="G29" s="4"/>
      <x:c r="H29" s="4"/>
    </x:row>
    <x:row r="30" ht="22" customHeight="1">
      <x:c r="A30" s="4"/>
      <x:c r="B30" s="4"/>
      <x:c r="C30" s="4"/>
      <x:c r="D30" s="4"/>
      <x:c r="E30" s="4"/>
      <x:c r="F30" s="4"/>
      <x:c r="G30" s="4"/>
      <x:c r="H30" s="4"/>
    </x:row>
    <x:row r="31" ht="22" customHeight="1">
      <x:c r="A31" s="4"/>
      <x:c r="B31" s="4"/>
      <x:c r="C31" s="4"/>
      <x:c r="D31" s="4"/>
      <x:c r="E31" s="4"/>
      <x:c r="F31" s="4"/>
      <x:c r="G31" s="4"/>
      <x:c r="H31" s="4"/>
    </x:row>
    <x:row r="32" ht="22" customHeight="1">
      <x:c r="A32" s="4"/>
      <x:c r="B32" s="4"/>
      <x:c r="C32" s="4"/>
      <x:c r="D32" s="4"/>
      <x:c r="E32" s="4"/>
      <x:c r="F32" s="4"/>
      <x:c r="G32" s="4"/>
      <x:c r="H32" s="4"/>
    </x:row>
    <x:row r="33" ht="22" customHeight="1">
      <x:c r="A33" s="4"/>
      <x:c r="B33" s="4"/>
      <x:c r="C33" s="4"/>
      <x:c r="D33" s="4"/>
      <x:c r="E33" s="4"/>
      <x:c r="F33" s="4"/>
      <x:c r="G33" s="4"/>
      <x:c r="H33" s="4"/>
    </x:row>
    <x:row r="34" ht="22" customHeight="1">
      <x:c r="A34" s="4"/>
      <x:c r="B34" s="4"/>
      <x:c r="C34" s="4"/>
      <x:c r="D34" s="4"/>
      <x:c r="E34" s="4"/>
      <x:c r="F34" s="4"/>
      <x:c r="G34" s="4"/>
      <x:c r="H34" s="4"/>
    </x:row>
    <x:row r="35" ht="22" customHeight="1">
      <x:c r="A35" s="4"/>
      <x:c r="B35" s="4"/>
      <x:c r="C35" s="4"/>
      <x:c r="D35" s="4"/>
      <x:c r="E35" s="4"/>
      <x:c r="F35" s="4"/>
      <x:c r="G35" s="4"/>
      <x:c r="H35" s="4"/>
    </x:row>
    <x:row r="36" ht="22" customHeight="1">
      <x:c r="A36" s="4"/>
      <x:c r="B36" s="4"/>
      <x:c r="C36" s="4"/>
      <x:c r="D36" s="4"/>
      <x:c r="E36" s="4"/>
      <x:c r="F36" s="4"/>
      <x:c r="G36" s="4"/>
      <x:c r="H36" s="4"/>
    </x:row>
    <x:row r="37" ht="22" customHeight="1">
      <x:c r="A37" s="4"/>
      <x:c r="B37" s="4"/>
      <x:c r="C37" s="4"/>
      <x:c r="D37" s="4"/>
      <x:c r="E37" s="4"/>
      <x:c r="F37" s="4"/>
      <x:c r="G37" s="4"/>
      <x:c r="H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</x:row>
    <x:row r="39" ht="22" customHeight="1">
      <x:c r="A39" s="4"/>
      <x:c r="B39" s="4"/>
      <x:c r="C39" s="4"/>
      <x:c r="D39" s="4"/>
      <x:c r="E39" s="4"/>
      <x:c r="F39" s="4"/>
      <x:c r="G39" s="4"/>
      <x:c r="H39" s="4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</x:row>
    <x:row r="41" ht="22" customHeight="1">
      <x:c r="A41" s="4"/>
      <x:c r="B41" s="4"/>
      <x:c r="C41" s="4"/>
      <x:c r="D41" s="4"/>
      <x:c r="E41" s="4"/>
      <x:c r="F41" s="4"/>
      <x:c r="G41" s="4"/>
      <x:c r="H41" s="4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</x:row>
    <x:row r="43" ht="22" customHeight="1">
      <x:c r="A43" s="4"/>
      <x:c r="B43" s="4"/>
      <x:c r="C43" s="4"/>
      <x:c r="D43" s="4"/>
      <x:c r="E43" s="4"/>
      <x:c r="F43" s="4"/>
      <x:c r="G43" s="4"/>
      <x:c r="H43" s="4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</x:sheetData>
  <x:mergeCells>
    <x:mergeCell ref="A20:F22"/>
    <x:mergeCell ref="A1:F2"/>
  </x:mergeCells>
  <x:dataValidations count="2">
    <x:dataValidation type="list" sqref="D5:D10">
      <x:formula1>"0,1"</x:formula1>
    </x:dataValidation>
    <x:dataValidation type="list" sqref="B5:B10">
      <x:formula1>"cerrado,pendiente"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8" t="str">
        <x:v>IA PARA TRABAJAR MEJOR · TASAS</x:v>
      </x:c>
      <x:c r="B1" s="28"/>
      <x:c r="C1" s="28"/>
      <x:c r="D1" s="28"/>
      <x:c r="E1" s="28"/>
      <x:c r="F1" s="28"/>
      <x:c r="G1" s="7"/>
      <x:c r="H1" s="7"/>
    </x:row>
    <x:row r="2" ht="25" customHeight="1">
      <x:c r="A2" s="28"/>
      <x:c r="B2" s="28"/>
      <x:c r="C2" s="28"/>
      <x:c r="D2" s="28"/>
      <x:c r="E2" s="28"/>
      <x:c r="F2" s="28"/>
      <x:c r="G2" s="7"/>
      <x:c r="H2" s="7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20" t="str">
        <x:v>Semana</x:v>
      </x:c>
      <x:c r="B4" s="20" t="str">
        <x:v>Recibidos</x:v>
      </x:c>
      <x:c r="C4" s="20" t="str">
        <x:v>Cerrados</x:v>
      </x:c>
      <x:c r="D4" s="20" t="str">
        <x:v>Tasa</x:v>
      </x:c>
      <x:c r="E4" s="20"/>
      <x:c r="F4" s="20"/>
      <x:c r="G4" s="4"/>
      <x:c r="H4" s="4"/>
    </x:row>
    <x:row r="5" ht="22" customHeight="1">
      <x:c r="A5" s="21" t="str">
        <x:v>Semana 1</x:v>
      </x:c>
      <x:c r="B5" s="21" t="n">
        <x:v>10</x:v>
      </x:c>
      <x:c r="C5" s="21" t="n">
        <x:v>8</x:v>
      </x:c>
      <x:c r="D5" s="22" t="n">
        <x:f>IF(B5=0,"",C5/B5)</x:f>
        <x:v>0.8</x:v>
      </x:c>
      <x:c r="E5" s="21"/>
      <x:c r="F5" s="21"/>
      <x:c r="G5" s="4"/>
      <x:c r="H5" s="4"/>
    </x:row>
    <x:row r="6" ht="22" customHeight="1">
      <x:c r="A6" s="21" t="str">
        <x:v>Semana 2</x:v>
      </x:c>
      <x:c r="B6" s="21" t="n">
        <x:v>20</x:v>
      </x:c>
      <x:c r="C6" s="21" t="n">
        <x:v>6</x:v>
      </x:c>
      <x:c r="D6" s="22" t="n">
        <x:f>IF(B6=0,"",C6/B6)</x:f>
        <x:v>0.3</x:v>
      </x:c>
      <x:c r="E6" s="21"/>
      <x:c r="F6" s="21"/>
      <x:c r="G6" s="4"/>
      <x:c r="H6" s="4"/>
    </x:row>
    <x:row r="7" ht="22" customHeight="1">
      <x:c r="A7" s="21"/>
      <x:c r="B7" s="21"/>
      <x:c r="C7" s="21"/>
      <x:c r="D7" s="22"/>
      <x:c r="E7" s="21"/>
      <x:c r="F7" s="21"/>
      <x:c r="G7" s="4"/>
      <x:c r="H7" s="4"/>
    </x:row>
    <x:row r="8" ht="22" customHeight="1">
      <x:c r="A8" s="21" t="str">
        <x:v>Total</x:v>
      </x:c>
      <x:c r="B8" s="21" t="n">
        <x:f>SUM(B5:B6)</x:f>
        <x:v>30</x:v>
      </x:c>
      <x:c r="C8" s="21" t="n">
        <x:f>SUM(C5:C6)</x:f>
        <x:v>14</x:v>
      </x:c>
      <x:c r="D8" s="22" t="n">
        <x:f>IF(B8=0,"",C8/B8)</x:f>
        <x:v>0.4666666666666667</x:v>
      </x:c>
      <x:c r="E8" s="21"/>
      <x:c r="F8" s="21"/>
      <x:c r="G8" s="4"/>
      <x:c r="H8" s="4"/>
    </x:row>
    <x:row r="9" ht="22" customHeight="1">
      <x:c r="A9" s="21"/>
      <x:c r="B9" s="21"/>
      <x:c r="C9" s="21"/>
      <x:c r="D9" s="22"/>
      <x:c r="E9" s="21"/>
      <x:c r="F9" s="21"/>
      <x:c r="G9" s="4"/>
      <x:c r="H9" s="4"/>
    </x:row>
    <x:row r="10" ht="22" customHeight="1">
      <x:c r="A10" s="21" t="str">
        <x:v>Media simple de tasas semanales</x:v>
      </x:c>
      <x:c r="B10" s="21"/>
      <x:c r="C10" s="21"/>
      <x:c r="D10" s="22" t="n">
        <x:f>AVERAGE(D5:D6)</x:f>
        <x:v>0.55</x:v>
      </x:c>
      <x:c r="E10" s="21"/>
      <x:c r="F10" s="21"/>
      <x:c r="G10" s="4"/>
      <x:c r="H10" s="4"/>
    </x:row>
    <x:row r="11" ht="22" customHeight="1">
      <x:c r="A11" s="21"/>
      <x:c r="B11" s="21"/>
      <x:c r="C11" s="21"/>
      <x:c r="D11" s="21"/>
      <x:c r="E11" s="21"/>
      <x:c r="F11" s="21"/>
      <x:c r="G11" s="4"/>
      <x:c r="H11" s="4"/>
    </x:row>
    <x:row r="12" ht="22" customHeight="1">
      <x:c r="A12" s="21" t="str">
        <x:v>La tasa global usa los totales. La media simple de tasas responde otra pregunta. Estos datos no demuestran que IA causó una mejora. Variante: cambia cerrados de Semana 2 a 8 y vuelve a interpretar.</x:v>
      </x:c>
      <x:c r="B12" s="21"/>
      <x:c r="C12" s="21"/>
      <x:c r="D12" s="21"/>
      <x:c r="E12" s="21"/>
      <x:c r="F12" s="21"/>
      <x:c r="G12" s="4"/>
      <x:c r="H12" s="4"/>
    </x:row>
    <x:row r="13" ht="22" customHeight="1">
      <x:c r="A13" s="21"/>
      <x:c r="B13" s="21"/>
      <x:c r="C13" s="21"/>
      <x:c r="D13" s="21"/>
      <x:c r="E13" s="21"/>
      <x:c r="F13" s="21"/>
      <x:c r="G13" s="4"/>
      <x:c r="H13" s="4"/>
    </x:row>
    <x:row r="14" ht="22" customHeight="1">
      <x:c r="A14" s="21"/>
      <x:c r="B14" s="21"/>
      <x:c r="C14" s="21"/>
      <x:c r="D14" s="21"/>
      <x:c r="E14" s="21"/>
      <x:c r="F14" s="21"/>
      <x:c r="G14" s="4"/>
      <x:c r="H14" s="4"/>
    </x:row>
    <x:row r="15" ht="22" customHeight="1">
      <x:c r="A15" s="21"/>
      <x:c r="B15" s="21"/>
      <x:c r="C15" s="21"/>
      <x:c r="D15" s="21"/>
      <x:c r="E15" s="21"/>
      <x:c r="F15" s="21"/>
      <x:c r="G15" s="4"/>
      <x:c r="H15" s="4"/>
    </x:row>
    <x:row r="16" ht="22" customHeight="1">
      <x:c r="A16" s="21"/>
      <x:c r="B16" s="21"/>
      <x:c r="C16" s="21"/>
      <x:c r="D16" s="21"/>
      <x:c r="E16" s="21"/>
      <x:c r="F16" s="21"/>
      <x:c r="G16" s="4"/>
      <x:c r="H16" s="4"/>
    </x:row>
    <x:row r="17" ht="22" customHeight="1">
      <x:c r="A17" s="21"/>
      <x:c r="B17" s="21"/>
      <x:c r="C17" s="21"/>
      <x:c r="D17" s="21"/>
      <x:c r="E17" s="21"/>
      <x:c r="F17" s="21"/>
      <x:c r="G17" s="4"/>
      <x:c r="H17" s="4"/>
    </x:row>
    <x:row r="18" ht="22" customHeight="1">
      <x:c r="A18" s="21"/>
      <x:c r="B18" s="21"/>
      <x:c r="C18" s="21"/>
      <x:c r="D18" s="21"/>
      <x:c r="E18" s="21"/>
      <x:c r="F18" s="21"/>
      <x:c r="G18" s="4"/>
      <x:c r="H18" s="4"/>
    </x:row>
    <x:row r="19" ht="22" customHeight="1">
      <x:c r="A19" s="21"/>
      <x:c r="B19" s="21"/>
      <x:c r="C19" s="21"/>
      <x:c r="D19" s="21"/>
      <x:c r="E19" s="21"/>
      <x:c r="F19" s="21"/>
      <x:c r="G19" s="4"/>
      <x:c r="H19" s="4"/>
    </x:row>
    <x:row r="20" ht="22" customHeight="1">
      <x:c r="A20" s="21"/>
      <x:c r="B20" s="21"/>
      <x:c r="C20" s="21"/>
      <x:c r="D20" s="21"/>
      <x:c r="E20" s="21"/>
      <x:c r="F20" s="21"/>
      <x:c r="G20" s="4"/>
      <x:c r="H20" s="4"/>
    </x:row>
    <x:row r="21" ht="22" customHeight="1">
      <x:c r="A21" s="21"/>
      <x:c r="B21" s="21"/>
      <x:c r="C21" s="21"/>
      <x:c r="D21" s="21"/>
      <x:c r="E21" s="21"/>
      <x:c r="F21" s="21"/>
      <x:c r="G21" s="4"/>
      <x:c r="H21" s="4"/>
    </x:row>
    <x:row r="22" ht="22" customHeight="1">
      <x:c r="A22" s="21"/>
      <x:c r="B22" s="21"/>
      <x:c r="C22" s="21"/>
      <x:c r="D22" s="21"/>
      <x:c r="E22" s="21"/>
      <x:c r="F22" s="21"/>
      <x:c r="G22" s="4"/>
      <x:c r="H22" s="4"/>
    </x:row>
    <x:row r="23" ht="22" customHeight="1">
      <x:c r="A23" s="21"/>
      <x:c r="B23" s="21"/>
      <x:c r="C23" s="21"/>
      <x:c r="D23" s="21"/>
      <x:c r="E23" s="21"/>
      <x:c r="F23" s="21"/>
      <x:c r="G23" s="4"/>
      <x:c r="H23" s="4"/>
    </x:row>
    <x:row r="24" ht="22" customHeight="1">
      <x:c r="A24" s="21"/>
      <x:c r="B24" s="21"/>
      <x:c r="C24" s="21"/>
      <x:c r="D24" s="21"/>
      <x:c r="E24" s="21"/>
      <x:c r="F24" s="21"/>
      <x:c r="G24" s="4"/>
      <x:c r="H24" s="4"/>
    </x:row>
    <x:row r="25" ht="22" customHeight="1">
      <x:c r="A25" s="21"/>
      <x:c r="B25" s="21"/>
      <x:c r="C25" s="21"/>
      <x:c r="D25" s="21"/>
      <x:c r="E25" s="21"/>
      <x:c r="F25" s="21"/>
      <x:c r="G25" s="4"/>
      <x:c r="H25" s="4"/>
    </x:row>
    <x:row r="26" ht="22" customHeight="1">
      <x:c r="A26" s="21"/>
      <x:c r="B26" s="21"/>
      <x:c r="C26" s="21"/>
      <x:c r="D26" s="21"/>
      <x:c r="E26" s="21"/>
      <x:c r="F26" s="21"/>
      <x:c r="G26" s="4"/>
      <x:c r="H26" s="4"/>
    </x:row>
    <x:row r="27" ht="22" customHeight="1">
      <x:c r="A27" s="4"/>
      <x:c r="B27" s="4"/>
      <x:c r="C27" s="4"/>
      <x:c r="D27" s="4"/>
      <x:c r="E27" s="4"/>
      <x:c r="F27" s="4"/>
      <x:c r="G27" s="4"/>
      <x:c r="H27" s="4"/>
    </x:row>
    <x:row r="28" ht="22" customHeight="1">
      <x:c r="A28" s="4"/>
      <x:c r="B28" s="4"/>
      <x:c r="C28" s="4"/>
      <x:c r="D28" s="4"/>
      <x:c r="E28" s="4"/>
      <x:c r="F28" s="4"/>
      <x:c r="G28" s="4"/>
      <x:c r="H28" s="4"/>
    </x:row>
    <x:row r="29" ht="22" customHeight="1">
      <x:c r="A29" s="4"/>
      <x:c r="B29" s="4"/>
      <x:c r="C29" s="4"/>
      <x:c r="D29" s="4"/>
      <x:c r="E29" s="4"/>
      <x:c r="F29" s="4"/>
      <x:c r="G29" s="4"/>
      <x:c r="H29" s="4"/>
    </x:row>
    <x:row r="30" ht="22" customHeight="1">
      <x:c r="A30" s="4"/>
      <x:c r="B30" s="4"/>
      <x:c r="C30" s="4"/>
      <x:c r="D30" s="4"/>
      <x:c r="E30" s="4"/>
      <x:c r="F30" s="4"/>
      <x:c r="G30" s="4"/>
      <x:c r="H30" s="4"/>
    </x:row>
    <x:row r="31" ht="22" customHeight="1">
      <x:c r="A31" s="4"/>
      <x:c r="B31" s="4"/>
      <x:c r="C31" s="4"/>
      <x:c r="D31" s="4"/>
      <x:c r="E31" s="4"/>
      <x:c r="F31" s="4"/>
      <x:c r="G31" s="4"/>
      <x:c r="H31" s="4"/>
    </x:row>
    <x:row r="32" ht="22" customHeight="1">
      <x:c r="A32" s="4"/>
      <x:c r="B32" s="4"/>
      <x:c r="C32" s="4"/>
      <x:c r="D32" s="4"/>
      <x:c r="E32" s="4"/>
      <x:c r="F32" s="4"/>
      <x:c r="G32" s="4"/>
      <x:c r="H32" s="4"/>
    </x:row>
    <x:row r="33" ht="22" customHeight="1">
      <x:c r="A33" s="4"/>
      <x:c r="B33" s="4"/>
      <x:c r="C33" s="4"/>
      <x:c r="D33" s="4"/>
      <x:c r="E33" s="4"/>
      <x:c r="F33" s="4"/>
      <x:c r="G33" s="4"/>
      <x:c r="H33" s="4"/>
    </x:row>
    <x:row r="34" ht="22" customHeight="1">
      <x:c r="A34" s="4"/>
      <x:c r="B34" s="4"/>
      <x:c r="C34" s="4"/>
      <x:c r="D34" s="4"/>
      <x:c r="E34" s="4"/>
      <x:c r="F34" s="4"/>
      <x:c r="G34" s="4"/>
      <x:c r="H34" s="4"/>
    </x:row>
    <x:row r="35" ht="22" customHeight="1">
      <x:c r="A35" s="4"/>
      <x:c r="B35" s="4"/>
      <x:c r="C35" s="4"/>
      <x:c r="D35" s="4"/>
      <x:c r="E35" s="4"/>
      <x:c r="F35" s="4"/>
      <x:c r="G35" s="4"/>
      <x:c r="H35" s="4"/>
    </x:row>
    <x:row r="36" ht="22" customHeight="1">
      <x:c r="A36" s="4"/>
      <x:c r="B36" s="4"/>
      <x:c r="C36" s="4"/>
      <x:c r="D36" s="4"/>
      <x:c r="E36" s="4"/>
      <x:c r="F36" s="4"/>
      <x:c r="G36" s="4"/>
      <x:c r="H36" s="4"/>
    </x:row>
    <x:row r="37" ht="22" customHeight="1">
      <x:c r="A37" s="4"/>
      <x:c r="B37" s="4"/>
      <x:c r="C37" s="4"/>
      <x:c r="D37" s="4"/>
      <x:c r="E37" s="4"/>
      <x:c r="F37" s="4"/>
      <x:c r="G37" s="4"/>
      <x:c r="H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</x:row>
    <x:row r="39" ht="22" customHeight="1">
      <x:c r="A39" s="4"/>
      <x:c r="B39" s="4"/>
      <x:c r="C39" s="4"/>
      <x:c r="D39" s="4"/>
      <x:c r="E39" s="4"/>
      <x:c r="F39" s="4"/>
      <x:c r="G39" s="4"/>
      <x:c r="H39" s="4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</x:row>
    <x:row r="41" ht="22" customHeight="1">
      <x:c r="A41" s="4"/>
      <x:c r="B41" s="4"/>
      <x:c r="C41" s="4"/>
      <x:c r="D41" s="4"/>
      <x:c r="E41" s="4"/>
      <x:c r="F41" s="4"/>
      <x:c r="G41" s="4"/>
      <x:c r="H41" s="4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</x:row>
    <x:row r="43" ht="22" customHeight="1">
      <x:c r="A43" s="4"/>
      <x:c r="B43" s="4"/>
      <x:c r="C43" s="4"/>
      <x:c r="D43" s="4"/>
      <x:c r="E43" s="4"/>
      <x:c r="F43" s="4"/>
      <x:c r="G43" s="4"/>
      <x:c r="H43" s="4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</x:sheetData>
  <x:mergeCells>
    <x:mergeCell ref="A10:C10"/>
    <x:mergeCell ref="A12:F15"/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8" t="str">
        <x:v>IA PARA TRABAJAR MEJOR · PRODUCTIVIDAD</x:v>
      </x:c>
      <x:c r="B1" s="28"/>
      <x:c r="C1" s="28"/>
      <x:c r="D1" s="28"/>
      <x:c r="E1" s="28"/>
      <x:c r="F1" s="28"/>
      <x:c r="G1" s="7"/>
      <x:c r="H1" s="7"/>
    </x:row>
    <x:row r="2" ht="25" customHeight="1">
      <x:c r="A2" s="28"/>
      <x:c r="B2" s="28"/>
      <x:c r="C2" s="28"/>
      <x:c r="D2" s="28"/>
      <x:c r="E2" s="28"/>
      <x:c r="F2" s="28"/>
      <x:c r="G2" s="7"/>
      <x:c r="H2" s="7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20" t="str">
        <x:v>Etapa (minutos/tarea)</x:v>
      </x:c>
      <x:c r="B4" s="20" t="str">
        <x:v>Base</x:v>
      </x:c>
      <x:c r="C4" s="20" t="str">
        <x:v>Con IA</x:v>
      </x:c>
      <x:c r="D4" s="20"/>
      <x:c r="E4" s="20"/>
      <x:c r="F4" s="20"/>
      <x:c r="G4" s="4"/>
      <x:c r="H4" s="4"/>
    </x:row>
    <x:row r="5" ht="22" customHeight="1">
      <x:c r="A5" s="21" t="str">
        <x:v>Preparación</x:v>
      </x:c>
      <x:c r="B5" s="21" t="n">
        <x:v>5</x:v>
      </x:c>
      <x:c r="C5" s="21" t="n">
        <x:v>8</x:v>
      </x:c>
      <x:c r="D5" s="21"/>
      <x:c r="E5" s="21"/>
      <x:c r="F5" s="21"/>
      <x:c r="G5" s="4"/>
      <x:c r="H5" s="4"/>
    </x:row>
    <x:row r="6" ht="22" customHeight="1">
      <x:c r="A6" s="21" t="str">
        <x:v>Redacción / interacción</x:v>
      </x:c>
      <x:c r="B6" s="21" t="n">
        <x:v>18</x:v>
      </x:c>
      <x:c r="C6" s="21" t="n">
        <x:v>4</x:v>
      </x:c>
      <x:c r="D6" s="21"/>
      <x:c r="E6" s="21"/>
      <x:c r="F6" s="21"/>
      <x:c r="G6" s="4"/>
      <x:c r="H6" s="4"/>
    </x:row>
    <x:row r="7" ht="22" customHeight="1">
      <x:c r="A7" s="21" t="str">
        <x:v>Revisión</x:v>
      </x:c>
      <x:c r="B7" s="21" t="n">
        <x:v>7</x:v>
      </x:c>
      <x:c r="C7" s="21" t="n">
        <x:v>10</x:v>
      </x:c>
      <x:c r="D7" s="21"/>
      <x:c r="E7" s="21"/>
      <x:c r="F7" s="21"/>
      <x:c r="G7" s="4"/>
      <x:c r="H7" s="4"/>
    </x:row>
    <x:row r="8" ht="22" customHeight="1">
      <x:c r="A8" s="21" t="str">
        <x:v>Corrección adicional</x:v>
      </x:c>
      <x:c r="B8" s="21" t="n">
        <x:v>0</x:v>
      </x:c>
      <x:c r="C8" s="21" t="n">
        <x:v>5</x:v>
      </x:c>
      <x:c r="D8" s="21"/>
      <x:c r="E8" s="21"/>
      <x:c r="F8" s="21"/>
      <x:c r="G8" s="4"/>
      <x:c r="H8" s="4"/>
    </x:row>
    <x:row r="9" ht="22" customHeight="1">
      <x:c r="A9" s="21" t="str">
        <x:v>Supervisión adicional</x:v>
      </x:c>
      <x:c r="B9" s="21" t="n">
        <x:v>0</x:v>
      </x:c>
      <x:c r="C9" s="21" t="n">
        <x:v>5</x:v>
      </x:c>
      <x:c r="D9" s="21"/>
      <x:c r="E9" s="21"/>
      <x:c r="F9" s="21"/>
      <x:c r="G9" s="4"/>
      <x:c r="H9" s="4"/>
    </x:row>
    <x:row r="10" ht="22" customHeight="1">
      <x:c r="A10" s="21"/>
      <x:c r="B10" s="21"/>
      <x:c r="C10" s="21"/>
      <x:c r="D10" s="21"/>
      <x:c r="E10" s="21"/>
      <x:c r="F10" s="21"/>
      <x:c r="G10" s="4"/>
      <x:c r="H10" s="4"/>
    </x:row>
    <x:row r="11" ht="22" customHeight="1">
      <x:c r="A11" s="21" t="str">
        <x:v>Total por tarea</x:v>
      </x:c>
      <x:c r="B11" s="21" t="n">
        <x:f>SUM(B5:B9)</x:f>
        <x:v>30</x:v>
      </x:c>
      <x:c r="C11" s="21" t="n">
        <x:f>SUM(C5:C9)</x:f>
        <x:v>32</x:v>
      </x:c>
      <x:c r="D11" s="21"/>
      <x:c r="E11" s="21"/>
      <x:c r="F11" s="21"/>
      <x:c r="G11" s="4"/>
      <x:c r="H11" s="4"/>
    </x:row>
    <x:row r="12" ht="22" customHeight="1">
      <x:c r="A12" s="21"/>
      <x:c r="B12" s="21"/>
      <x:c r="C12" s="21"/>
      <x:c r="D12" s="21"/>
      <x:c r="E12" s="21"/>
      <x:c r="F12" s="21"/>
      <x:c r="G12" s="4"/>
      <x:c r="H12" s="4"/>
    </x:row>
    <x:row r="13" ht="22" customHeight="1">
      <x:c r="A13" s="21" t="str">
        <x:v>Tareas mensuales</x:v>
      </x:c>
      <x:c r="B13" s="21" t="n">
        <x:v>20</x:v>
      </x:c>
      <x:c r="C13" s="21"/>
      <x:c r="D13" s="21"/>
      <x:c r="E13" s="21"/>
      <x:c r="F13" s="21"/>
      <x:c r="G13" s="4"/>
      <x:c r="H13" s="4"/>
    </x:row>
    <x:row r="14" ht="22" customHeight="1">
      <x:c r="A14" s="21" t="str">
        <x:v>Mantenimiento extra (min/mes)</x:v>
      </x:c>
      <x:c r="B14" s="21" t="n">
        <x:v>30</x:v>
      </x:c>
      <x:c r="C14" s="21"/>
      <x:c r="D14" s="21"/>
      <x:c r="E14" s="21"/>
      <x:c r="F14" s="21"/>
      <x:c r="G14" s="4"/>
      <x:c r="H14" s="4"/>
    </x:row>
    <x:row r="15" ht="22" customHeight="1">
      <x:c r="A15" s="21"/>
      <x:c r="B15" s="21"/>
      <x:c r="C15" s="21"/>
      <x:c r="D15" s="21"/>
      <x:c r="E15" s="21"/>
      <x:c r="F15" s="21"/>
      <x:c r="G15" s="4"/>
      <x:c r="H15" s="4"/>
    </x:row>
    <x:row r="16" ht="22" customHeight="1">
      <x:c r="A16" s="21" t="str">
        <x:v>Ahorro por tarea</x:v>
      </x:c>
      <x:c r="B16" s="21" t="n">
        <x:f>B11-C11</x:f>
        <x:v>-2</x:v>
      </x:c>
      <x:c r="C16" s="21"/>
      <x:c r="D16" s="21"/>
      <x:c r="E16" s="21"/>
      <x:c r="F16" s="21"/>
      <x:c r="G16" s="4"/>
      <x:c r="H16" s="4"/>
    </x:row>
    <x:row r="17" ht="22" customHeight="1">
      <x:c r="A17" s="21" t="str">
        <x:v>Ahorro mensual bruto</x:v>
      </x:c>
      <x:c r="B17" s="21" t="n">
        <x:f>B16*B13</x:f>
        <x:v>-40</x:v>
      </x:c>
      <x:c r="C17" s="21"/>
      <x:c r="D17" s="21"/>
      <x:c r="E17" s="21"/>
      <x:c r="F17" s="21"/>
      <x:c r="G17" s="4"/>
      <x:c r="H17" s="4"/>
    </x:row>
    <x:row r="18" ht="22" customHeight="1">
      <x:c r="A18" s="21" t="str">
        <x:v>Ahorro mensual neto</x:v>
      </x:c>
      <x:c r="B18" s="21" t="n">
        <x:f>B17-B14</x:f>
        <x:v>-70</x:v>
      </x:c>
      <x:c r="C18" s="21"/>
      <x:c r="D18" s="21"/>
      <x:c r="E18" s="21"/>
      <x:c r="F18" s="21"/>
      <x:c r="G18" s="4"/>
      <x:c r="H18" s="4"/>
    </x:row>
    <x:row r="19" ht="22" customHeight="1">
      <x:c r="A19" s="21" t="str">
        <x:v>Interpretación</x:v>
      </x:c>
      <x:c r="B19" s="21" t="str">
        <x:f>IF(B18&gt;0,"Ahorro en este escenario",IF(B18&lt;0,"Más tiempo en este escenario","Sin diferencia neta"))</x:f>
        <x:v>Más tiempo en este escenario</x:v>
      </x:c>
      <x:c r="C19" s="21"/>
      <x:c r="D19" s="21"/>
      <x:c r="E19" s="21"/>
      <x:c r="F19" s="21"/>
      <x:c r="G19" s="4"/>
      <x:c r="H19" s="4"/>
    </x:row>
    <x:row r="20" ht="22" customHeight="1">
      <x:c r="A20" s="21"/>
      <x:c r="B20" s="21"/>
      <x:c r="C20" s="21"/>
      <x:c r="D20" s="21"/>
      <x:c r="E20" s="21"/>
      <x:c r="F20" s="21"/>
      <x:c r="G20" s="4"/>
      <x:c r="H20" s="4"/>
    </x:row>
    <x:row r="21" ht="22" customHeight="1">
      <x:c r="A21" s="21"/>
      <x:c r="B21" s="21"/>
      <x:c r="C21" s="21"/>
      <x:c r="D21" s="21"/>
      <x:c r="E21" s="21"/>
      <x:c r="F21" s="21"/>
      <x:c r="G21" s="4"/>
      <x:c r="H21" s="4"/>
    </x:row>
    <x:row r="22" ht="22" customHeight="1">
      <x:c r="A22" s="21"/>
      <x:c r="B22" s="21"/>
      <x:c r="C22" s="21"/>
      <x:c r="D22" s="21"/>
      <x:c r="E22" s="21"/>
      <x:c r="F22" s="21"/>
      <x:c r="G22" s="4"/>
      <x:c r="H22" s="4"/>
    </x:row>
    <x:row r="23" ht="22" customHeight="1">
      <x:c r="A23" s="21" t="str">
        <x:v>No convertir automáticamente minutos en ahorro monetario. Faltan costos, uso del tiempo liberado y medición con calidad comparable. Variante del taller: baja la revisión con IA a 6 minutos y la supervisión a 2; conserva las otras etapas y vuelve a calcular.</x:v>
      </x:c>
      <x:c r="B23" s="21"/>
      <x:c r="C23" s="21"/>
      <x:c r="D23" s="21"/>
      <x:c r="E23" s="21"/>
      <x:c r="F23" s="21"/>
      <x:c r="G23" s="4"/>
      <x:c r="H23" s="4"/>
    </x:row>
    <x:row r="24" ht="22" customHeight="1">
      <x:c r="A24" s="21"/>
      <x:c r="B24" s="21"/>
      <x:c r="C24" s="21"/>
      <x:c r="D24" s="21"/>
      <x:c r="E24" s="21"/>
      <x:c r="F24" s="21"/>
      <x:c r="G24" s="4"/>
      <x:c r="H24" s="4"/>
    </x:row>
    <x:row r="25" ht="22" customHeight="1">
      <x:c r="A25" s="21"/>
      <x:c r="B25" s="21"/>
      <x:c r="C25" s="21"/>
      <x:c r="D25" s="21"/>
      <x:c r="E25" s="21"/>
      <x:c r="F25" s="21"/>
      <x:c r="G25" s="4"/>
      <x:c r="H25" s="4"/>
    </x:row>
    <x:row r="26" ht="22" customHeight="1">
      <x:c r="A26" s="21"/>
      <x:c r="B26" s="21"/>
      <x:c r="C26" s="21"/>
      <x:c r="D26" s="21"/>
      <x:c r="E26" s="21"/>
      <x:c r="F26" s="21"/>
      <x:c r="G26" s="4"/>
      <x:c r="H26" s="4"/>
    </x:row>
    <x:row r="27" ht="22" customHeight="1">
      <x:c r="A27" s="4"/>
      <x:c r="B27" s="4"/>
      <x:c r="C27" s="4"/>
      <x:c r="D27" s="4"/>
      <x:c r="E27" s="4"/>
      <x:c r="F27" s="4"/>
      <x:c r="G27" s="4"/>
      <x:c r="H27" s="4"/>
    </x:row>
    <x:row r="28" ht="22" customHeight="1">
      <x:c r="A28" s="4"/>
      <x:c r="B28" s="4"/>
      <x:c r="C28" s="4"/>
      <x:c r="D28" s="4"/>
      <x:c r="E28" s="4"/>
      <x:c r="F28" s="4"/>
      <x:c r="G28" s="4"/>
      <x:c r="H28" s="4"/>
    </x:row>
    <x:row r="29" ht="22" customHeight="1">
      <x:c r="A29" s="4"/>
      <x:c r="B29" s="4"/>
      <x:c r="C29" s="4"/>
      <x:c r="D29" s="4"/>
      <x:c r="E29" s="4"/>
      <x:c r="F29" s="4"/>
      <x:c r="G29" s="4"/>
      <x:c r="H29" s="4"/>
    </x:row>
    <x:row r="30" ht="22" customHeight="1">
      <x:c r="A30" s="4"/>
      <x:c r="B30" s="4"/>
      <x:c r="C30" s="4"/>
      <x:c r="D30" s="4"/>
      <x:c r="E30" s="4"/>
      <x:c r="F30" s="4"/>
      <x:c r="G30" s="4"/>
      <x:c r="H30" s="4"/>
    </x:row>
    <x:row r="31" ht="22" customHeight="1">
      <x:c r="A31" s="4"/>
      <x:c r="B31" s="4"/>
      <x:c r="C31" s="4"/>
      <x:c r="D31" s="4"/>
      <x:c r="E31" s="4"/>
      <x:c r="F31" s="4"/>
      <x:c r="G31" s="4"/>
      <x:c r="H31" s="4"/>
    </x:row>
    <x:row r="32" ht="22" customHeight="1">
      <x:c r="A32" s="4"/>
      <x:c r="B32" s="4"/>
      <x:c r="C32" s="4"/>
      <x:c r="D32" s="4"/>
      <x:c r="E32" s="4"/>
      <x:c r="F32" s="4"/>
      <x:c r="G32" s="4"/>
      <x:c r="H32" s="4"/>
    </x:row>
    <x:row r="33" ht="22" customHeight="1">
      <x:c r="A33" s="4"/>
      <x:c r="B33" s="4"/>
      <x:c r="C33" s="4"/>
      <x:c r="D33" s="4"/>
      <x:c r="E33" s="4"/>
      <x:c r="F33" s="4"/>
      <x:c r="G33" s="4"/>
      <x:c r="H33" s="4"/>
    </x:row>
    <x:row r="34" ht="22" customHeight="1">
      <x:c r="A34" s="4"/>
      <x:c r="B34" s="4"/>
      <x:c r="C34" s="4"/>
      <x:c r="D34" s="4"/>
      <x:c r="E34" s="4"/>
      <x:c r="F34" s="4"/>
      <x:c r="G34" s="4"/>
      <x:c r="H34" s="4"/>
    </x:row>
    <x:row r="35" ht="22" customHeight="1">
      <x:c r="A35" s="4"/>
      <x:c r="B35" s="4"/>
      <x:c r="C35" s="4"/>
      <x:c r="D35" s="4"/>
      <x:c r="E35" s="4"/>
      <x:c r="F35" s="4"/>
      <x:c r="G35" s="4"/>
      <x:c r="H35" s="4"/>
    </x:row>
    <x:row r="36" ht="22" customHeight="1">
      <x:c r="A36" s="4"/>
      <x:c r="B36" s="4"/>
      <x:c r="C36" s="4"/>
      <x:c r="D36" s="4"/>
      <x:c r="E36" s="4"/>
      <x:c r="F36" s="4"/>
      <x:c r="G36" s="4"/>
      <x:c r="H36" s="4"/>
    </x:row>
    <x:row r="37" ht="22" customHeight="1">
      <x:c r="A37" s="4"/>
      <x:c r="B37" s="4"/>
      <x:c r="C37" s="4"/>
      <x:c r="D37" s="4"/>
      <x:c r="E37" s="4"/>
      <x:c r="F37" s="4"/>
      <x:c r="G37" s="4"/>
      <x:c r="H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</x:row>
    <x:row r="39" ht="22" customHeight="1">
      <x:c r="A39" s="4"/>
      <x:c r="B39" s="4"/>
      <x:c r="C39" s="4"/>
      <x:c r="D39" s="4"/>
      <x:c r="E39" s="4"/>
      <x:c r="F39" s="4"/>
      <x:c r="G39" s="4"/>
      <x:c r="H39" s="4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</x:row>
    <x:row r="41" ht="22" customHeight="1">
      <x:c r="A41" s="4"/>
      <x:c r="B41" s="4"/>
      <x:c r="C41" s="4"/>
      <x:c r="D41" s="4"/>
      <x:c r="E41" s="4"/>
      <x:c r="F41" s="4"/>
      <x:c r="G41" s="4"/>
      <x:c r="H41" s="4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</x:row>
    <x:row r="43" ht="22" customHeight="1">
      <x:c r="A43" s="4"/>
      <x:c r="B43" s="4"/>
      <x:c r="C43" s="4"/>
      <x:c r="D43" s="4"/>
      <x:c r="E43" s="4"/>
      <x:c r="F43" s="4"/>
      <x:c r="G43" s="4"/>
      <x:c r="H43" s="4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</x:sheetData>
  <x:mergeCells>
    <x:mergeCell ref="B19:F20"/>
    <x:mergeCell ref="A23:F26"/>
    <x:mergeCell ref="A1:F2"/>
  </x:mergeCells>
  <x:conditionalFormatting sqref="B18:B1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8" t="str">
        <x:v>IA PARA TRABAJAR MEJOR · REGISTRO</x:v>
      </x:c>
      <x:c r="B1" s="28"/>
      <x:c r="C1" s="28"/>
      <x:c r="D1" s="28"/>
      <x:c r="E1" s="28"/>
      <x:c r="F1" s="28"/>
      <x:c r="G1" s="7"/>
      <x:c r="H1" s="7"/>
    </x:row>
    <x:row r="2" ht="25" customHeight="1">
      <x:c r="A2" s="28"/>
      <x:c r="B2" s="28"/>
      <x:c r="C2" s="28"/>
      <x:c r="D2" s="28"/>
      <x:c r="E2" s="28"/>
      <x:c r="F2" s="28"/>
      <x:c r="G2" s="7"/>
      <x:c r="H2" s="7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20" t="str">
        <x:v>ID de tarea</x:v>
      </x:c>
      <x:c r="B4" s="20" t="str">
        <x:v>Fuente y versión</x:v>
      </x:c>
      <x:c r="C4" s="20" t="str">
        <x:v>Comprobación</x:v>
      </x:c>
      <x:c r="D4" s="20" t="str">
        <x:v>Resultado observado</x:v>
      </x:c>
      <x:c r="E4" s="20" t="str">
        <x:v>Pendiente / decisión</x:v>
      </x:c>
      <x:c r="F4" s="20" t="str">
        <x:v>Fecha</x:v>
      </x:c>
      <x:c r="G4" s="4"/>
      <x:c r="H4" s="4"/>
    </x:row>
    <x:row r="5" ht="48" customHeight="1">
      <x:c r="A5" s="21" t="str">
        <x:v>Ejemplo M09-T1</x:v>
      </x:c>
      <x:c r="B5" s="21" t="str">
        <x:v>Tabla ficticia del taller</x:v>
      </x:c>
      <x:c r="C5" s="21" t="str">
        <x:v>Separar vacío y cero</x:v>
      </x:c>
      <x:c r="D5" s="21" t="str">
        <x:v>T04 contiene cero validado</x:v>
      </x:c>
      <x:c r="E5" s="21" t="str">
        <x:v>No imputar duración a T05</x:v>
      </x:c>
      <x:c r="F5" s="21" t="str">
        <x:v>2026-10-08</x:v>
      </x:c>
      <x:c r="G5" s="4"/>
      <x:c r="H5" s="4"/>
    </x:row>
    <x:row r="6" ht="48" customHeight="1">
      <x:c r="A6" s="21" t="str"/>
      <x:c r="B6" s="21" t="str"/>
      <x:c r="C6" s="21" t="str"/>
      <x:c r="D6" s="21" t="str"/>
      <x:c r="E6" s="21" t="str"/>
      <x:c r="F6" s="21" t="str"/>
      <x:c r="G6" s="4"/>
      <x:c r="H6" s="4"/>
    </x:row>
    <x:row r="7" ht="48" customHeight="1">
      <x:c r="A7" s="21" t="str"/>
      <x:c r="B7" s="21" t="str"/>
      <x:c r="C7" s="21" t="str"/>
      <x:c r="D7" s="21" t="str"/>
      <x:c r="E7" s="21" t="str"/>
      <x:c r="F7" s="21" t="str"/>
      <x:c r="G7" s="4"/>
      <x:c r="H7" s="4"/>
    </x:row>
    <x:row r="8" ht="48" customHeight="1">
      <x:c r="A8" s="21" t="str"/>
      <x:c r="B8" s="21" t="str"/>
      <x:c r="C8" s="21" t="str"/>
      <x:c r="D8" s="21" t="str"/>
      <x:c r="E8" s="21" t="str"/>
      <x:c r="F8" s="21" t="str"/>
      <x:c r="G8" s="4"/>
      <x:c r="H8" s="4"/>
    </x:row>
    <x:row r="9" ht="48" customHeight="1">
      <x:c r="A9" s="21" t="str"/>
      <x:c r="B9" s="21" t="str"/>
      <x:c r="C9" s="21" t="str"/>
      <x:c r="D9" s="21" t="str"/>
      <x:c r="E9" s="21" t="str"/>
      <x:c r="F9" s="21" t="str"/>
      <x:c r="G9" s="4"/>
      <x:c r="H9" s="4"/>
    </x:row>
    <x:row r="10" ht="48" customHeight="1">
      <x:c r="A10" s="21" t="str"/>
      <x:c r="B10" s="21" t="str"/>
      <x:c r="C10" s="21" t="str"/>
      <x:c r="D10" s="21" t="str"/>
      <x:c r="E10" s="21" t="str"/>
      <x:c r="F10" s="21" t="str"/>
      <x:c r="G10" s="4"/>
      <x:c r="H10" s="4"/>
    </x:row>
    <x:row r="11" ht="48" customHeight="1">
      <x:c r="A11" s="21" t="str"/>
      <x:c r="B11" s="21" t="str"/>
      <x:c r="C11" s="21" t="str"/>
      <x:c r="D11" s="21" t="str"/>
      <x:c r="E11" s="21" t="str"/>
      <x:c r="F11" s="21" t="str"/>
      <x:c r="G11" s="4"/>
      <x:c r="H11" s="4"/>
    </x:row>
    <x:row r="12" ht="48" customHeight="1">
      <x:c r="A12" s="21" t="str"/>
      <x:c r="B12" s="21" t="str"/>
      <x:c r="C12" s="21" t="str"/>
      <x:c r="D12" s="21" t="str"/>
      <x:c r="E12" s="21" t="str"/>
      <x:c r="F12" s="21" t="str"/>
      <x:c r="G12" s="4"/>
      <x:c r="H12" s="4"/>
    </x:row>
    <x:row r="13" ht="48" customHeight="1">
      <x:c r="A13" s="21" t="str"/>
      <x:c r="B13" s="21" t="str"/>
      <x:c r="C13" s="21" t="str"/>
      <x:c r="D13" s="21" t="str"/>
      <x:c r="E13" s="21" t="str"/>
      <x:c r="F13" s="21" t="str"/>
      <x:c r="G13" s="4"/>
      <x:c r="H13" s="4"/>
    </x:row>
    <x:row r="14" ht="48" customHeight="1">
      <x:c r="A14" s="21" t="str"/>
      <x:c r="B14" s="21" t="str"/>
      <x:c r="C14" s="21" t="str"/>
      <x:c r="D14" s="21" t="str"/>
      <x:c r="E14" s="21" t="str"/>
      <x:c r="F14" s="21" t="str"/>
      <x:c r="G14" s="4"/>
      <x:c r="H14" s="4"/>
    </x:row>
    <x:row r="15" ht="48" customHeight="1">
      <x:c r="A15" s="21" t="str"/>
      <x:c r="B15" s="21" t="str"/>
      <x:c r="C15" s="21" t="str"/>
      <x:c r="D15" s="21" t="str"/>
      <x:c r="E15" s="21" t="str"/>
      <x:c r="F15" s="21" t="str"/>
      <x:c r="G15" s="4"/>
      <x:c r="H15" s="4"/>
    </x:row>
    <x:row r="16" ht="48" customHeight="1">
      <x:c r="A16" s="21" t="str"/>
      <x:c r="B16" s="21" t="str"/>
      <x:c r="C16" s="21" t="str"/>
      <x:c r="D16" s="21" t="str"/>
      <x:c r="E16" s="21" t="str"/>
      <x:c r="F16" s="21" t="str"/>
      <x:c r="G16" s="4"/>
      <x:c r="H16" s="4"/>
    </x:row>
    <x:row r="17" ht="48" customHeight="1">
      <x:c r="A17" s="21" t="str"/>
      <x:c r="B17" s="21" t="str"/>
      <x:c r="C17" s="21" t="str"/>
      <x:c r="D17" s="21" t="str"/>
      <x:c r="E17" s="21" t="str"/>
      <x:c r="F17" s="21" t="str"/>
      <x:c r="G17" s="4"/>
      <x:c r="H17" s="4"/>
    </x:row>
    <x:row r="18" ht="48" customHeight="1">
      <x:c r="A18" s="21" t="str"/>
      <x:c r="B18" s="21" t="str"/>
      <x:c r="C18" s="21" t="str"/>
      <x:c r="D18" s="21" t="str"/>
      <x:c r="E18" s="21" t="str"/>
      <x:c r="F18" s="21" t="str"/>
      <x:c r="G18" s="4"/>
      <x:c r="H18" s="4"/>
    </x:row>
    <x:row r="19" ht="48" customHeight="1">
      <x:c r="A19" s="21" t="str"/>
      <x:c r="B19" s="21" t="str"/>
      <x:c r="C19" s="21" t="str"/>
      <x:c r="D19" s="21" t="str"/>
      <x:c r="E19" s="21" t="str"/>
      <x:c r="F19" s="21" t="str"/>
      <x:c r="G19" s="4"/>
      <x:c r="H19" s="4"/>
    </x:row>
    <x:row r="20" ht="48" customHeight="1">
      <x:c r="A20" s="21" t="str"/>
      <x:c r="B20" s="21" t="str"/>
      <x:c r="C20" s="21" t="str"/>
      <x:c r="D20" s="21" t="str"/>
      <x:c r="E20" s="21" t="str"/>
      <x:c r="F20" s="21" t="str"/>
      <x:c r="G20" s="4"/>
      <x:c r="H20" s="4"/>
    </x:row>
    <x:row r="21" ht="22" customHeight="1">
      <x:c r="A21" s="21"/>
      <x:c r="B21" s="21"/>
      <x:c r="C21" s="21"/>
      <x:c r="D21" s="21"/>
      <x:c r="E21" s="21"/>
      <x:c r="F21" s="21"/>
      <x:c r="G21" s="4"/>
      <x:c r="H21" s="4"/>
    </x:row>
    <x:row r="22" ht="22" customHeight="1">
      <x:c r="A22" s="21"/>
      <x:c r="B22" s="21"/>
      <x:c r="C22" s="21"/>
      <x:c r="D22" s="21"/>
      <x:c r="E22" s="21"/>
      <x:c r="F22" s="21"/>
      <x:c r="G22" s="4"/>
      <x:c r="H22" s="4"/>
    </x:row>
    <x:row r="23" ht="22" customHeight="1">
      <x:c r="A23" s="21"/>
      <x:c r="B23" s="21"/>
      <x:c r="C23" s="21"/>
      <x:c r="D23" s="21"/>
      <x:c r="E23" s="21"/>
      <x:c r="F23" s="21"/>
      <x:c r="G23" s="4"/>
      <x:c r="H23" s="4"/>
    </x:row>
    <x:row r="24" ht="22" customHeight="1">
      <x:c r="A24" s="21"/>
      <x:c r="B24" s="21"/>
      <x:c r="C24" s="21"/>
      <x:c r="D24" s="21"/>
      <x:c r="E24" s="21"/>
      <x:c r="F24" s="21"/>
      <x:c r="G24" s="4"/>
      <x:c r="H24" s="4"/>
    </x:row>
    <x:row r="25" ht="22" customHeight="1">
      <x:c r="A25" s="21"/>
      <x:c r="B25" s="21"/>
      <x:c r="C25" s="21"/>
      <x:c r="D25" s="21"/>
      <x:c r="E25" s="21"/>
      <x:c r="F25" s="21"/>
      <x:c r="G25" s="4"/>
      <x:c r="H25" s="4"/>
    </x:row>
    <x:row r="26" ht="22" customHeight="1">
      <x:c r="A26" s="21"/>
      <x:c r="B26" s="21"/>
      <x:c r="C26" s="21"/>
      <x:c r="D26" s="21"/>
      <x:c r="E26" s="21"/>
      <x:c r="F26" s="21"/>
      <x:c r="G26" s="4"/>
      <x:c r="H26" s="4"/>
    </x:row>
    <x:row r="27" ht="22" customHeight="1">
      <x:c r="A27" s="4"/>
      <x:c r="B27" s="4"/>
      <x:c r="C27" s="4"/>
      <x:c r="D27" s="4"/>
      <x:c r="E27" s="4"/>
      <x:c r="F27" s="4"/>
      <x:c r="G27" s="4"/>
      <x:c r="H27" s="4"/>
    </x:row>
    <x:row r="28" ht="22" customHeight="1">
      <x:c r="A28" s="4"/>
      <x:c r="B28" s="4"/>
      <x:c r="C28" s="4"/>
      <x:c r="D28" s="4"/>
      <x:c r="E28" s="4"/>
      <x:c r="F28" s="4"/>
      <x:c r="G28" s="4"/>
      <x:c r="H28" s="4"/>
    </x:row>
    <x:row r="29" ht="22" customHeight="1">
      <x:c r="A29" s="4"/>
      <x:c r="B29" s="4"/>
      <x:c r="C29" s="4"/>
      <x:c r="D29" s="4"/>
      <x:c r="E29" s="4"/>
      <x:c r="F29" s="4"/>
      <x:c r="G29" s="4"/>
      <x:c r="H29" s="4"/>
    </x:row>
    <x:row r="30" ht="22" customHeight="1">
      <x:c r="A30" s="4"/>
      <x:c r="B30" s="4"/>
      <x:c r="C30" s="4"/>
      <x:c r="D30" s="4"/>
      <x:c r="E30" s="4"/>
      <x:c r="F30" s="4"/>
      <x:c r="G30" s="4"/>
      <x:c r="H30" s="4"/>
    </x:row>
    <x:row r="31" ht="22" customHeight="1">
      <x:c r="A31" s="4"/>
      <x:c r="B31" s="4"/>
      <x:c r="C31" s="4"/>
      <x:c r="D31" s="4"/>
      <x:c r="E31" s="4"/>
      <x:c r="F31" s="4"/>
      <x:c r="G31" s="4"/>
      <x:c r="H31" s="4"/>
    </x:row>
    <x:row r="32" ht="22" customHeight="1">
      <x:c r="A32" s="4"/>
      <x:c r="B32" s="4"/>
      <x:c r="C32" s="4"/>
      <x:c r="D32" s="4"/>
      <x:c r="E32" s="4"/>
      <x:c r="F32" s="4"/>
      <x:c r="G32" s="4"/>
      <x:c r="H32" s="4"/>
    </x:row>
    <x:row r="33" ht="22" customHeight="1">
      <x:c r="A33" s="4"/>
      <x:c r="B33" s="4"/>
      <x:c r="C33" s="4"/>
      <x:c r="D33" s="4"/>
      <x:c r="E33" s="4"/>
      <x:c r="F33" s="4"/>
      <x:c r="G33" s="4"/>
      <x:c r="H33" s="4"/>
    </x:row>
    <x:row r="34" ht="22" customHeight="1">
      <x:c r="A34" s="4"/>
      <x:c r="B34" s="4"/>
      <x:c r="C34" s="4"/>
      <x:c r="D34" s="4"/>
      <x:c r="E34" s="4"/>
      <x:c r="F34" s="4"/>
      <x:c r="G34" s="4"/>
      <x:c r="H34" s="4"/>
    </x:row>
    <x:row r="35" ht="22" customHeight="1">
      <x:c r="A35" s="4"/>
      <x:c r="B35" s="4"/>
      <x:c r="C35" s="4"/>
      <x:c r="D35" s="4"/>
      <x:c r="E35" s="4"/>
      <x:c r="F35" s="4"/>
      <x:c r="G35" s="4"/>
      <x:c r="H35" s="4"/>
    </x:row>
    <x:row r="36" ht="22" customHeight="1">
      <x:c r="A36" s="4"/>
      <x:c r="B36" s="4"/>
      <x:c r="C36" s="4"/>
      <x:c r="D36" s="4"/>
      <x:c r="E36" s="4"/>
      <x:c r="F36" s="4"/>
      <x:c r="G36" s="4"/>
      <x:c r="H36" s="4"/>
    </x:row>
    <x:row r="37" ht="22" customHeight="1">
      <x:c r="A37" s="4"/>
      <x:c r="B37" s="4"/>
      <x:c r="C37" s="4"/>
      <x:c r="D37" s="4"/>
      <x:c r="E37" s="4"/>
      <x:c r="F37" s="4"/>
      <x:c r="G37" s="4"/>
      <x:c r="H37" s="4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</x:row>
    <x:row r="39" ht="22" customHeight="1">
      <x:c r="A39" s="4"/>
      <x:c r="B39" s="4"/>
      <x:c r="C39" s="4"/>
      <x:c r="D39" s="4"/>
      <x:c r="E39" s="4"/>
      <x:c r="F39" s="4"/>
      <x:c r="G39" s="4"/>
      <x:c r="H39" s="4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</x:row>
    <x:row r="41" ht="22" customHeight="1">
      <x:c r="A41" s="4"/>
      <x:c r="B41" s="4"/>
      <x:c r="C41" s="4"/>
      <x:c r="D41" s="4"/>
      <x:c r="E41" s="4"/>
      <x:c r="F41" s="4"/>
      <x:c r="G41" s="4"/>
      <x:c r="H41" s="4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</x:row>
    <x:row r="43" ht="22" customHeight="1">
      <x:c r="A43" s="4"/>
      <x:c r="B43" s="4"/>
      <x:c r="C43" s="4"/>
      <x:c r="D43" s="4"/>
      <x:c r="E43" s="4"/>
      <x:c r="F43" s="4"/>
      <x:c r="G43" s="4"/>
      <x:c r="H43" s="4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</x:row>
    <x:row r="45" ht="22" customHeight="1">
      <x:c r="A45" s="4"/>
      <x:c r="B45" s="4"/>
      <x:c r="C45" s="4"/>
      <x:c r="D45" s="4"/>
      <x:c r="E45" s="4"/>
      <x:c r="F45" s="4"/>
      <x:c r="G45" s="4"/>
      <x:c r="H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</x:sheetData>
  <x:mergeCells>
    <x:mergeCell ref="A1:F2"/>
  </x:mergeCells>
  <x:pageMargins left="0.7" right="0.7" top="0.75" bottom="0.75" header="0.3" footer="0.3"/>
</x:worksheet>
</file>